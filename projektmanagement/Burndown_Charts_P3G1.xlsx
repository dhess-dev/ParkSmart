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holl\Downloads\"/>
    </mc:Choice>
  </mc:AlternateContent>
  <xr:revisionPtr revIDLastSave="0" documentId="13_ncr:1_{731C0C61-2F5D-4F42-953D-CD56FE40F4F9}" xr6:coauthVersionLast="47" xr6:coauthVersionMax="47" xr10:uidLastSave="{00000000-0000-0000-0000-000000000000}"/>
  <bookViews>
    <workbookView xWindow="-108" yWindow="-108" windowWidth="23256" windowHeight="12456" xr2:uid="{3B1B3BAA-D87F-4131-B9CE-2FEAECB0AD19}"/>
  </bookViews>
  <sheets>
    <sheet name="Tabelle1" sheetId="1" r:id="rId1"/>
  </sheets>
  <definedNames>
    <definedName name="_xlnm.Print_Area" localSheetId="0">Tabelle1!$D$4:$L$172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2" i="1" l="1"/>
  <c r="F143" i="1"/>
  <c r="I143" i="1"/>
  <c r="L143" i="1"/>
  <c r="F98" i="1"/>
  <c r="E143" i="1"/>
  <c r="G143" i="1" s="1"/>
  <c r="E142" i="1"/>
  <c r="E97" i="1"/>
  <c r="F97" i="1" s="1"/>
  <c r="G97" i="1" s="1"/>
  <c r="H97" i="1" s="1"/>
  <c r="I97" i="1" s="1"/>
  <c r="J97" i="1" s="1"/>
  <c r="E98" i="1"/>
  <c r="E55" i="1"/>
  <c r="F55" i="1" s="1"/>
  <c r="G55" i="1" s="1"/>
  <c r="H55" i="1" s="1"/>
  <c r="I55" i="1" s="1"/>
  <c r="J55" i="1" s="1"/>
  <c r="E56" i="1"/>
  <c r="G56" i="1" s="1"/>
  <c r="E18" i="1"/>
  <c r="F18" i="1" s="1"/>
  <c r="E17" i="1"/>
  <c r="F17" i="1" s="1"/>
  <c r="G17" i="1" s="1"/>
  <c r="H17" i="1" s="1"/>
  <c r="I17" i="1" s="1"/>
  <c r="J17" i="1" s="1"/>
  <c r="G142" i="1" l="1"/>
  <c r="H142" i="1" s="1"/>
  <c r="I142" i="1" s="1"/>
  <c r="J142" i="1" s="1"/>
  <c r="K142" i="1" s="1"/>
  <c r="L142" i="1" s="1"/>
  <c r="K143" i="1"/>
  <c r="J143" i="1"/>
  <c r="H143" i="1"/>
  <c r="J98" i="1"/>
  <c r="I98" i="1"/>
  <c r="H98" i="1"/>
  <c r="G98" i="1"/>
  <c r="H56" i="1"/>
  <c r="F56" i="1"/>
  <c r="J56" i="1"/>
  <c r="I56" i="1"/>
  <c r="J18" i="1"/>
  <c r="I18" i="1"/>
  <c r="H18" i="1"/>
  <c r="G18" i="1"/>
</calcChain>
</file>

<file path=xl/sharedStrings.xml><?xml version="1.0" encoding="utf-8"?>
<sst xmlns="http://schemas.openxmlformats.org/spreadsheetml/2006/main" count="79" uniqueCount="51">
  <si>
    <t>Name</t>
  </si>
  <si>
    <t>geschätzte Dauer</t>
  </si>
  <si>
    <t>Tag 1</t>
  </si>
  <si>
    <t>Verbleibender Aufwand</t>
  </si>
  <si>
    <t>Idealer Verlauf</t>
  </si>
  <si>
    <t>Technologieauswahl: Programmiersprache &amp; Datenbank</t>
  </si>
  <si>
    <t>Einrichten des Backends &amp; Frontends</t>
  </si>
  <si>
    <t>Projekt in Docker einrichten</t>
  </si>
  <si>
    <t>Einrichten des MQTT-Brokers</t>
  </si>
  <si>
    <t>Einbau von sicherer Kommunikation zwischen BE und FE</t>
  </si>
  <si>
    <t>Einrichten des Raspberry-Pi</t>
  </si>
  <si>
    <t>Steuerung einer Schranke durch RFID-Chip</t>
  </si>
  <si>
    <t xml:space="preserve">Integration von MQTT-Clients in CPS </t>
  </si>
  <si>
    <t>Integration von MQTT-Clients im BE</t>
  </si>
  <si>
    <t>Tag 2</t>
  </si>
  <si>
    <t>Tag 3</t>
  </si>
  <si>
    <t>Tag 4</t>
  </si>
  <si>
    <t>Tag 5</t>
  </si>
  <si>
    <t>Sprint Nr.1</t>
  </si>
  <si>
    <t>Sprint Nr.2</t>
  </si>
  <si>
    <t>Ausgabe von qr-Code bei Buchung</t>
  </si>
  <si>
    <t>esp32 Cam als qr-Code-Scanner implementieren</t>
  </si>
  <si>
    <t>Erstellung von QR-Codes im BE</t>
  </si>
  <si>
    <t>Übersicht der freien Parkplätze im FE</t>
  </si>
  <si>
    <t>Automatische reconnection mit MQTT-Broker</t>
  </si>
  <si>
    <t>Benutzerverwaltung: Login Page einbauen</t>
  </si>
  <si>
    <t>Ultraschalsensoren an Mikrocontroller anschließen</t>
  </si>
  <si>
    <t>FE: Header/Sidebar einrichten</t>
  </si>
  <si>
    <t>Sensordaten in DB einpflegen</t>
  </si>
  <si>
    <t>Integration eines LCD-Displays im CPS</t>
  </si>
  <si>
    <t>Tracking Anzahl der Autos auf der Parkfläche</t>
  </si>
  <si>
    <t>Sprint Nr.3</t>
  </si>
  <si>
    <t>Belegung der Parkplätze mit LEDs kennzeichen</t>
  </si>
  <si>
    <t>Login: Public und Protected Routing implementieren</t>
  </si>
  <si>
    <t>Implementierung von User-Einstellungen</t>
  </si>
  <si>
    <t>Auslastung des parkplatzes durch Gauge anzeigen</t>
  </si>
  <si>
    <t>Implementirung eines Darkmode-Buttons</t>
  </si>
  <si>
    <t>Sprint Nr.4</t>
  </si>
  <si>
    <t>LCD-Display überarbeiten und Feedback ausgeben</t>
  </si>
  <si>
    <t>Tag 6</t>
  </si>
  <si>
    <t>Tag 7</t>
  </si>
  <si>
    <t>Webseite einheitlich auf Deutsch übersetzen</t>
  </si>
  <si>
    <t>Parkfläche bauen</t>
  </si>
  <si>
    <t>Validierung in DB auslagern</t>
  </si>
  <si>
    <t>Anzahl der Parkflächen erweitern</t>
  </si>
  <si>
    <t>Sensoren für exit Gate einbauen</t>
  </si>
  <si>
    <t>Werbeunterlagen überarbeiten</t>
  </si>
  <si>
    <t xml:space="preserve">Parking Count: Einträge unter 0 sind bislang erlaubt </t>
  </si>
  <si>
    <t>Abstände für die Sensoren auf den Parkplatz anpassen</t>
  </si>
  <si>
    <t>CPS-Struktur überarbeiten</t>
  </si>
  <si>
    <t>Logik für das exit Gate einbauen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</si>
</sst>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Sprint 1:</a:t>
            </a:r>
            <a:r>
              <a:rPr lang="de-DE" baseline="0"/>
              <a:t> </a:t>
            </a:r>
            <a:r>
              <a:rPr lang="de-DE"/>
              <a:t>Burndown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Tabelle1!$D$17</c:f>
              <c:strCache>
                <c:ptCount val="1"/>
                <c:pt idx="0">
                  <c:v>Verbleibender Aufwand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Tabelle1!$E$17:$J$17</c:f>
              <c:numCache>
                <c:formatCode>General</c:formatCode>
                <c:ptCount val="6"/>
                <c:pt idx="0">
                  <c:v>120</c:v>
                </c:pt>
                <c:pt idx="1">
                  <c:v>97</c:v>
                </c:pt>
                <c:pt idx="2">
                  <c:v>60</c:v>
                </c:pt>
                <c:pt idx="3">
                  <c:v>37</c:v>
                </c:pt>
                <c:pt idx="4">
                  <c:v>20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59-4B8C-B6FA-D1254851AEED}"/>
            </c:ext>
          </c:extLst>
        </c:ser>
        <c:ser>
          <c:idx val="1"/>
          <c:order val="1"/>
          <c:tx>
            <c:strRef>
              <c:f>Tabelle1!$D$18</c:f>
              <c:strCache>
                <c:ptCount val="1"/>
                <c:pt idx="0">
                  <c:v>Idealer Verlauf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Tabelle1!$E$18:$J$18</c:f>
              <c:numCache>
                <c:formatCode>General</c:formatCode>
                <c:ptCount val="6"/>
                <c:pt idx="0">
                  <c:v>120</c:v>
                </c:pt>
                <c:pt idx="1">
                  <c:v>96</c:v>
                </c:pt>
                <c:pt idx="2">
                  <c:v>72</c:v>
                </c:pt>
                <c:pt idx="3">
                  <c:v>48</c:v>
                </c:pt>
                <c:pt idx="4">
                  <c:v>24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59-4B8C-B6FA-D1254851AE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0297295"/>
        <c:axId val="1780299215"/>
      </c:lineChart>
      <c:catAx>
        <c:axId val="17802972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80299215"/>
        <c:crosses val="autoZero"/>
        <c:auto val="1"/>
        <c:lblAlgn val="ctr"/>
        <c:lblOffset val="100"/>
        <c:noMultiLvlLbl val="0"/>
      </c:catAx>
      <c:valAx>
        <c:axId val="1780299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80297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Sprint 2: Burndown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Tabelle1!$D$55</c:f>
              <c:strCache>
                <c:ptCount val="1"/>
                <c:pt idx="0">
                  <c:v>Verbleibender Aufwand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Tabelle1!$E$55:$J$55</c:f>
              <c:numCache>
                <c:formatCode>General</c:formatCode>
                <c:ptCount val="6"/>
                <c:pt idx="0">
                  <c:v>120</c:v>
                </c:pt>
                <c:pt idx="1">
                  <c:v>100</c:v>
                </c:pt>
                <c:pt idx="2">
                  <c:v>61</c:v>
                </c:pt>
                <c:pt idx="3">
                  <c:v>36</c:v>
                </c:pt>
                <c:pt idx="4">
                  <c:v>15</c:v>
                </c:pt>
                <c:pt idx="5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1A-45CD-8B74-D7FF32CA571C}"/>
            </c:ext>
          </c:extLst>
        </c:ser>
        <c:ser>
          <c:idx val="1"/>
          <c:order val="1"/>
          <c:tx>
            <c:strRef>
              <c:f>Tabelle1!$D$56</c:f>
              <c:strCache>
                <c:ptCount val="1"/>
                <c:pt idx="0">
                  <c:v>Idealer Verlauf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Tabelle1!$E$56:$J$56</c:f>
              <c:numCache>
                <c:formatCode>General</c:formatCode>
                <c:ptCount val="6"/>
                <c:pt idx="0">
                  <c:v>120</c:v>
                </c:pt>
                <c:pt idx="1">
                  <c:v>96</c:v>
                </c:pt>
                <c:pt idx="2">
                  <c:v>72</c:v>
                </c:pt>
                <c:pt idx="3">
                  <c:v>48</c:v>
                </c:pt>
                <c:pt idx="4">
                  <c:v>24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1A-45CD-8B74-D7FF32CA57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7804816"/>
        <c:axId val="2037810096"/>
      </c:lineChart>
      <c:catAx>
        <c:axId val="20378048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37810096"/>
        <c:crosses val="autoZero"/>
        <c:auto val="1"/>
        <c:lblAlgn val="ctr"/>
        <c:lblOffset val="100"/>
        <c:noMultiLvlLbl val="0"/>
      </c:catAx>
      <c:valAx>
        <c:axId val="203781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37804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Sprint 3: Burndown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Tabelle1!$D$97</c:f>
              <c:strCache>
                <c:ptCount val="1"/>
                <c:pt idx="0">
                  <c:v>Verbleibender Aufwand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Tabelle1!$E$97:$J$97</c:f>
              <c:numCache>
                <c:formatCode>General</c:formatCode>
                <c:ptCount val="6"/>
                <c:pt idx="0">
                  <c:v>120</c:v>
                </c:pt>
                <c:pt idx="1">
                  <c:v>103</c:v>
                </c:pt>
                <c:pt idx="2">
                  <c:v>73</c:v>
                </c:pt>
                <c:pt idx="3">
                  <c:v>52</c:v>
                </c:pt>
                <c:pt idx="4">
                  <c:v>12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84-4138-8F4B-016483F89B7A}"/>
            </c:ext>
          </c:extLst>
        </c:ser>
        <c:ser>
          <c:idx val="1"/>
          <c:order val="1"/>
          <c:tx>
            <c:strRef>
              <c:f>Tabelle1!$D$98</c:f>
              <c:strCache>
                <c:ptCount val="1"/>
                <c:pt idx="0">
                  <c:v>Idealer Verlauf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Tabelle1!$E$98:$J$98</c:f>
              <c:numCache>
                <c:formatCode>General</c:formatCode>
                <c:ptCount val="6"/>
                <c:pt idx="0">
                  <c:v>120</c:v>
                </c:pt>
                <c:pt idx="1">
                  <c:v>96</c:v>
                </c:pt>
                <c:pt idx="2">
                  <c:v>72</c:v>
                </c:pt>
                <c:pt idx="3">
                  <c:v>48</c:v>
                </c:pt>
                <c:pt idx="4">
                  <c:v>24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84-4138-8F4B-016483F89B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108032"/>
        <c:axId val="113108512"/>
      </c:lineChart>
      <c:catAx>
        <c:axId val="1131080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3108512"/>
        <c:crosses val="autoZero"/>
        <c:auto val="1"/>
        <c:lblAlgn val="ctr"/>
        <c:lblOffset val="100"/>
        <c:noMultiLvlLbl val="0"/>
      </c:catAx>
      <c:valAx>
        <c:axId val="113108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3108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Sprint 4: Burndown Chart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de-DE"/>
          </a:p>
        </c:rich>
      </c:tx>
      <c:layout>
        <c:manualLayout>
          <c:xMode val="edge"/>
          <c:yMode val="edge"/>
          <c:x val="0.39360035118202169"/>
          <c:y val="4.04270062747408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Tabelle1!$D$142</c:f>
              <c:strCache>
                <c:ptCount val="1"/>
                <c:pt idx="0">
                  <c:v>Verbleibender Aufwand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Tabelle1!$F$142:$L$142</c:f>
              <c:numCache>
                <c:formatCode>General</c:formatCode>
                <c:ptCount val="7"/>
                <c:pt idx="0">
                  <c:v>115</c:v>
                </c:pt>
                <c:pt idx="1">
                  <c:v>99</c:v>
                </c:pt>
                <c:pt idx="2">
                  <c:v>75</c:v>
                </c:pt>
                <c:pt idx="3">
                  <c:v>43</c:v>
                </c:pt>
                <c:pt idx="4">
                  <c:v>35</c:v>
                </c:pt>
                <c:pt idx="5">
                  <c:v>16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5A-435B-A76D-D777909378DE}"/>
            </c:ext>
          </c:extLst>
        </c:ser>
        <c:ser>
          <c:idx val="1"/>
          <c:order val="1"/>
          <c:tx>
            <c:strRef>
              <c:f>Tabelle1!$D$143</c:f>
              <c:strCache>
                <c:ptCount val="1"/>
                <c:pt idx="0">
                  <c:v>Idealer Verlauf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Tabelle1!$F$143:$L$143</c:f>
              <c:numCache>
                <c:formatCode>0.00</c:formatCode>
                <c:ptCount val="7"/>
                <c:pt idx="0">
                  <c:v>115.71428571428572</c:v>
                </c:pt>
                <c:pt idx="1">
                  <c:v>96.428571428571431</c:v>
                </c:pt>
                <c:pt idx="2">
                  <c:v>77.142857142857139</c:v>
                </c:pt>
                <c:pt idx="3">
                  <c:v>57.857142857142861</c:v>
                </c:pt>
                <c:pt idx="4">
                  <c:v>38.571428571428584</c:v>
                </c:pt>
                <c:pt idx="5">
                  <c:v>19.285714285714292</c:v>
                </c:pt>
                <c:pt idx="6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5A-435B-A76D-D777909378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7484175"/>
        <c:axId val="1947485135"/>
      </c:lineChart>
      <c:catAx>
        <c:axId val="19474841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47485135"/>
        <c:crosses val="autoZero"/>
        <c:auto val="1"/>
        <c:lblAlgn val="ctr"/>
        <c:lblOffset val="100"/>
        <c:noMultiLvlLbl val="0"/>
      </c:catAx>
      <c:valAx>
        <c:axId val="1947485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47484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790574</xdr:colOff>
      <xdr:row>20</xdr:row>
      <xdr:rowOff>19049</xdr:rowOff>
    </xdr:from>
    <xdr:to>
      <xdr:col>9</xdr:col>
      <xdr:colOff>781049</xdr:colOff>
      <xdr:row>42</xdr:row>
      <xdr:rowOff>171450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67FC5657-FFF6-CA1E-A519-553DE4D526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17145</xdr:colOff>
      <xdr:row>58</xdr:row>
      <xdr:rowOff>10477</xdr:rowOff>
    </xdr:from>
    <xdr:to>
      <xdr:col>9</xdr:col>
      <xdr:colOff>781050</xdr:colOff>
      <xdr:row>81</xdr:row>
      <xdr:rowOff>19050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3D88DC6-6567-0F58-1426-AD8CA62CA5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8572</xdr:colOff>
      <xdr:row>99</xdr:row>
      <xdr:rowOff>172401</xdr:rowOff>
    </xdr:from>
    <xdr:to>
      <xdr:col>9</xdr:col>
      <xdr:colOff>775607</xdr:colOff>
      <xdr:row>122</xdr:row>
      <xdr:rowOff>163284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99F4B617-6374-DBC7-66D6-14AF04E9A3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11430</xdr:colOff>
      <xdr:row>144</xdr:row>
      <xdr:rowOff>10477</xdr:rowOff>
    </xdr:from>
    <xdr:to>
      <xdr:col>10</xdr:col>
      <xdr:colOff>9525</xdr:colOff>
      <xdr:row>171</xdr:row>
      <xdr:rowOff>152400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2DC6BCB2-8BDD-2D62-DCB8-12596166C3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4E2B2-33F9-46DA-B5A7-42FD0743E6B6}">
  <dimension ref="D4:L143"/>
  <sheetViews>
    <sheetView tabSelected="1" topLeftCell="B1" zoomScaleNormal="100" workbookViewId="0">
      <selection activeCell="D4" sqref="D4:L172"/>
    </sheetView>
  </sheetViews>
  <sheetFormatPr baseColWidth="10" defaultRowHeight="14.4" x14ac:dyDescent="0.3"/>
  <cols>
    <col min="3" max="3" width="11.5546875" customWidth="1"/>
    <col min="4" max="4" width="51.109375" customWidth="1"/>
    <col min="5" max="5" width="18.21875" customWidth="1"/>
  </cols>
  <sheetData>
    <row r="4" spans="4:10" x14ac:dyDescent="0.3">
      <c r="D4" t="s">
        <v>18</v>
      </c>
    </row>
    <row r="5" spans="4:10" x14ac:dyDescent="0.3">
      <c r="E5" s="1"/>
      <c r="F5" s="2">
        <v>45775</v>
      </c>
      <c r="G5" s="2">
        <v>45776</v>
      </c>
      <c r="H5" s="2">
        <v>45777</v>
      </c>
      <c r="I5" s="2">
        <v>45778</v>
      </c>
      <c r="J5" s="2">
        <v>45779</v>
      </c>
    </row>
    <row r="6" spans="4:10" x14ac:dyDescent="0.3">
      <c r="D6" t="s">
        <v>0</v>
      </c>
      <c r="E6" s="1" t="s">
        <v>1</v>
      </c>
      <c r="F6" s="1" t="s">
        <v>2</v>
      </c>
      <c r="G6" s="1" t="s">
        <v>14</v>
      </c>
      <c r="H6" s="1" t="s">
        <v>15</v>
      </c>
      <c r="I6" s="1" t="s">
        <v>16</v>
      </c>
      <c r="J6" s="1" t="s">
        <v>17</v>
      </c>
    </row>
    <row r="7" spans="4:10" x14ac:dyDescent="0.3">
      <c r="E7" s="1"/>
      <c r="F7" s="1"/>
      <c r="G7" s="1"/>
      <c r="H7" s="1"/>
      <c r="I7" s="1"/>
      <c r="J7" s="1"/>
    </row>
    <row r="8" spans="4:10" x14ac:dyDescent="0.3">
      <c r="D8" t="s">
        <v>5</v>
      </c>
      <c r="E8" s="1">
        <v>1</v>
      </c>
      <c r="F8" s="1">
        <v>1</v>
      </c>
      <c r="G8" s="1"/>
      <c r="H8" s="1"/>
      <c r="I8" s="1"/>
      <c r="J8" s="1"/>
    </row>
    <row r="9" spans="4:10" x14ac:dyDescent="0.3">
      <c r="D9" t="s">
        <v>6</v>
      </c>
      <c r="E9" s="1">
        <v>16</v>
      </c>
      <c r="F9" s="1">
        <v>12</v>
      </c>
      <c r="G9" s="1">
        <v>4</v>
      </c>
      <c r="H9" s="1"/>
      <c r="I9" s="1"/>
      <c r="J9" s="1"/>
    </row>
    <row r="10" spans="4:10" x14ac:dyDescent="0.3">
      <c r="D10" t="s">
        <v>9</v>
      </c>
      <c r="E10" s="1">
        <v>18</v>
      </c>
      <c r="F10" s="1">
        <v>10</v>
      </c>
      <c r="G10" s="1">
        <v>8</v>
      </c>
      <c r="H10" s="1"/>
      <c r="I10" s="1"/>
      <c r="J10" s="1"/>
    </row>
    <row r="11" spans="4:10" x14ac:dyDescent="0.3">
      <c r="D11" t="s">
        <v>10</v>
      </c>
      <c r="E11" s="1">
        <v>5</v>
      </c>
      <c r="F11" s="1"/>
      <c r="G11" s="1">
        <v>5</v>
      </c>
      <c r="H11" s="1"/>
      <c r="I11" s="1"/>
      <c r="J11" s="1"/>
    </row>
    <row r="12" spans="4:10" x14ac:dyDescent="0.3">
      <c r="D12" t="s">
        <v>8</v>
      </c>
      <c r="E12" s="1">
        <v>15</v>
      </c>
      <c r="F12" s="1"/>
      <c r="G12" s="1">
        <v>15</v>
      </c>
      <c r="H12" s="1"/>
      <c r="I12" s="1"/>
      <c r="J12" s="1"/>
    </row>
    <row r="13" spans="4:10" x14ac:dyDescent="0.3">
      <c r="D13" t="s">
        <v>7</v>
      </c>
      <c r="E13" s="1">
        <v>5</v>
      </c>
      <c r="F13" s="1"/>
      <c r="G13" s="1">
        <v>5</v>
      </c>
      <c r="H13" s="1"/>
      <c r="I13" s="1"/>
      <c r="J13" s="1"/>
    </row>
    <row r="14" spans="4:10" x14ac:dyDescent="0.3">
      <c r="D14" t="s">
        <v>12</v>
      </c>
      <c r="E14" s="1">
        <v>15</v>
      </c>
      <c r="F14" s="1"/>
      <c r="G14" s="1"/>
      <c r="H14" s="1">
        <v>15</v>
      </c>
      <c r="I14" s="1"/>
      <c r="J14" s="1"/>
    </row>
    <row r="15" spans="4:10" x14ac:dyDescent="0.3">
      <c r="D15" t="s">
        <v>13</v>
      </c>
      <c r="E15" s="1">
        <v>15</v>
      </c>
      <c r="F15" s="1"/>
      <c r="G15" s="1"/>
      <c r="H15" s="1">
        <v>8</v>
      </c>
      <c r="I15" s="1">
        <v>7</v>
      </c>
      <c r="J15" s="1"/>
    </row>
    <row r="16" spans="4:10" x14ac:dyDescent="0.3">
      <c r="D16" t="s">
        <v>11</v>
      </c>
      <c r="E16" s="1">
        <v>30</v>
      </c>
      <c r="F16" s="1"/>
      <c r="G16" s="1"/>
      <c r="H16" s="1"/>
      <c r="I16" s="1">
        <v>10</v>
      </c>
      <c r="J16" s="1">
        <v>20</v>
      </c>
    </row>
    <row r="17" spans="4:10" x14ac:dyDescent="0.3">
      <c r="D17" t="s">
        <v>3</v>
      </c>
      <c r="E17" s="1">
        <f>SUM(E8:E16)</f>
        <v>120</v>
      </c>
      <c r="F17" s="1">
        <f>E17-SUM(F8:F16)</f>
        <v>97</v>
      </c>
      <c r="G17" s="1">
        <f t="shared" ref="G17:H17" si="0">F17-SUM(G8:G16)</f>
        <v>60</v>
      </c>
      <c r="H17" s="1">
        <f t="shared" si="0"/>
        <v>37</v>
      </c>
      <c r="I17" s="1">
        <f>H17-SUM(I8:I16)</f>
        <v>20</v>
      </c>
      <c r="J17" s="1">
        <f>I17-SUM(J8:J16)</f>
        <v>0</v>
      </c>
    </row>
    <row r="18" spans="4:10" x14ac:dyDescent="0.3">
      <c r="D18" t="s">
        <v>4</v>
      </c>
      <c r="E18" s="1">
        <f>SUM(E8:E16)</f>
        <v>120</v>
      </c>
      <c r="F18" s="1">
        <f>$E$18-$E$18/5*COUNT($F$5:F5)</f>
        <v>96</v>
      </c>
      <c r="G18" s="1">
        <f>$E$18-$E$18/5*COUNT($F$5:G5)</f>
        <v>72</v>
      </c>
      <c r="H18" s="1">
        <f>$E$18-$E$18/5*COUNT($F$5:H5)</f>
        <v>48</v>
      </c>
      <c r="I18" s="1">
        <f>$E$18-$E$18/5*COUNT($F$5:I5)</f>
        <v>24</v>
      </c>
      <c r="J18" s="1">
        <f>$E$18-$E$18/5*COUNT($F$5:J5)</f>
        <v>0</v>
      </c>
    </row>
    <row r="45" spans="4:10" x14ac:dyDescent="0.3">
      <c r="D45" t="s">
        <v>19</v>
      </c>
    </row>
    <row r="46" spans="4:10" x14ac:dyDescent="0.3">
      <c r="E46" s="1"/>
      <c r="F46" s="2">
        <v>45782</v>
      </c>
      <c r="G46" s="2">
        <v>45783</v>
      </c>
      <c r="H46" s="2">
        <v>45784</v>
      </c>
      <c r="I46" s="2">
        <v>45785</v>
      </c>
      <c r="J46" s="2">
        <v>45786</v>
      </c>
    </row>
    <row r="47" spans="4:10" x14ac:dyDescent="0.3">
      <c r="D47" t="s">
        <v>0</v>
      </c>
      <c r="E47" s="1" t="s">
        <v>1</v>
      </c>
      <c r="F47" s="1" t="s">
        <v>2</v>
      </c>
      <c r="G47" s="1" t="s">
        <v>14</v>
      </c>
      <c r="H47" s="1" t="s">
        <v>15</v>
      </c>
      <c r="I47" s="1" t="s">
        <v>16</v>
      </c>
      <c r="J47" s="1" t="s">
        <v>17</v>
      </c>
    </row>
    <row r="48" spans="4:10" x14ac:dyDescent="0.3">
      <c r="D48" t="s">
        <v>22</v>
      </c>
      <c r="E48" s="1">
        <v>10</v>
      </c>
      <c r="F48" s="1">
        <v>10</v>
      </c>
      <c r="G48" s="1"/>
      <c r="H48" s="1"/>
      <c r="I48" s="1"/>
      <c r="J48" s="1"/>
    </row>
    <row r="49" spans="4:10" x14ac:dyDescent="0.3">
      <c r="D49" t="s">
        <v>21</v>
      </c>
      <c r="E49" s="1">
        <v>25</v>
      </c>
      <c r="F49" s="1">
        <v>3</v>
      </c>
      <c r="G49" s="1">
        <v>7</v>
      </c>
      <c r="H49" s="1"/>
      <c r="I49" s="1"/>
      <c r="J49" s="1">
        <v>10</v>
      </c>
    </row>
    <row r="50" spans="4:10" x14ac:dyDescent="0.3">
      <c r="D50" t="s">
        <v>20</v>
      </c>
      <c r="E50" s="1">
        <v>20</v>
      </c>
      <c r="F50" s="1">
        <v>7</v>
      </c>
      <c r="G50" s="1">
        <v>7</v>
      </c>
      <c r="H50" s="1"/>
      <c r="I50" s="1">
        <v>6</v>
      </c>
      <c r="J50" s="1"/>
    </row>
    <row r="51" spans="4:10" x14ac:dyDescent="0.3">
      <c r="D51" t="s">
        <v>26</v>
      </c>
      <c r="E51" s="1">
        <v>15</v>
      </c>
      <c r="F51" s="1"/>
      <c r="G51" s="1">
        <v>15</v>
      </c>
      <c r="H51" s="1"/>
      <c r="I51" s="1"/>
      <c r="J51" s="1"/>
    </row>
    <row r="52" spans="4:10" x14ac:dyDescent="0.3">
      <c r="D52" t="s">
        <v>28</v>
      </c>
      <c r="E52" s="1">
        <v>20</v>
      </c>
      <c r="F52" s="1"/>
      <c r="G52" s="1">
        <v>10</v>
      </c>
      <c r="H52" s="1">
        <v>5</v>
      </c>
      <c r="I52" s="1">
        <v>5</v>
      </c>
      <c r="J52" s="1"/>
    </row>
    <row r="53" spans="4:10" x14ac:dyDescent="0.3">
      <c r="D53" t="s">
        <v>24</v>
      </c>
      <c r="E53" s="1">
        <v>5</v>
      </c>
      <c r="F53" s="1"/>
      <c r="G53" s="1"/>
      <c r="H53" s="1">
        <v>5</v>
      </c>
      <c r="I53" s="1"/>
      <c r="J53" s="1"/>
    </row>
    <row r="54" spans="4:10" x14ac:dyDescent="0.3">
      <c r="D54" t="s">
        <v>25</v>
      </c>
      <c r="E54" s="1">
        <v>25</v>
      </c>
      <c r="F54" s="1"/>
      <c r="G54" s="1"/>
      <c r="H54" s="1">
        <v>15</v>
      </c>
      <c r="I54" s="1">
        <v>10</v>
      </c>
      <c r="J54" s="1"/>
    </row>
    <row r="55" spans="4:10" x14ac:dyDescent="0.3">
      <c r="D55" t="s">
        <v>3</v>
      </c>
      <c r="E55" s="1">
        <f>SUM(E48:E54)</f>
        <v>120</v>
      </c>
      <c r="F55" s="1">
        <f>E55-SUM(F48:F54)</f>
        <v>100</v>
      </c>
      <c r="G55" s="1">
        <f>F55-SUM(G48:G54)</f>
        <v>61</v>
      </c>
      <c r="H55" s="1">
        <f>G55-SUM(H48:H54)</f>
        <v>36</v>
      </c>
      <c r="I55" s="1">
        <f>H55-SUM(I48:I54)</f>
        <v>15</v>
      </c>
      <c r="J55" s="1">
        <f>I55-SUM(J48:J54)</f>
        <v>5</v>
      </c>
    </row>
    <row r="56" spans="4:10" x14ac:dyDescent="0.3">
      <c r="D56" t="s">
        <v>4</v>
      </c>
      <c r="E56" s="1">
        <f>SUM(E48:E54)</f>
        <v>120</v>
      </c>
      <c r="F56" s="1">
        <f>$E$56-$E$56/5*COUNT($F$46:F46)</f>
        <v>96</v>
      </c>
      <c r="G56" s="1">
        <f>$E$56-$E$56/5*COUNT($F$46:G46)</f>
        <v>72</v>
      </c>
      <c r="H56" s="1">
        <f>$E$56-$E$56/5*COUNT($F$46:H46)</f>
        <v>48</v>
      </c>
      <c r="I56" s="1">
        <f>$E$56-$E$56/5*COUNT($F$46:I46)</f>
        <v>24</v>
      </c>
      <c r="J56" s="1">
        <f>$E$56-$E$56/5*COUNT($F$46:J46)</f>
        <v>0</v>
      </c>
    </row>
    <row r="83" spans="4:10" x14ac:dyDescent="0.3">
      <c r="D83" t="s">
        <v>31</v>
      </c>
    </row>
    <row r="85" spans="4:10" x14ac:dyDescent="0.3">
      <c r="E85" s="1"/>
      <c r="F85" s="2">
        <v>45789</v>
      </c>
      <c r="G85" s="2">
        <v>45790</v>
      </c>
      <c r="H85" s="2">
        <v>45791</v>
      </c>
      <c r="I85" s="2">
        <v>45792</v>
      </c>
      <c r="J85" s="2">
        <v>45793</v>
      </c>
    </row>
    <row r="86" spans="4:10" x14ac:dyDescent="0.3">
      <c r="D86" t="s">
        <v>0</v>
      </c>
      <c r="E86" s="1" t="s">
        <v>1</v>
      </c>
      <c r="F86" s="1" t="s">
        <v>2</v>
      </c>
      <c r="G86" s="1" t="s">
        <v>14</v>
      </c>
      <c r="H86" s="1" t="s">
        <v>15</v>
      </c>
      <c r="I86" s="1" t="s">
        <v>16</v>
      </c>
      <c r="J86" s="1" t="s">
        <v>17</v>
      </c>
    </row>
    <row r="87" spans="4:10" x14ac:dyDescent="0.3">
      <c r="D87" t="s">
        <v>21</v>
      </c>
      <c r="E87" s="1">
        <v>5</v>
      </c>
      <c r="F87" s="1">
        <v>5</v>
      </c>
      <c r="G87" s="1"/>
      <c r="H87" s="1"/>
      <c r="I87" s="1"/>
      <c r="J87" s="1"/>
    </row>
    <row r="88" spans="4:10" x14ac:dyDescent="0.3">
      <c r="D88" t="s">
        <v>32</v>
      </c>
      <c r="E88" s="1">
        <v>15</v>
      </c>
      <c r="F88" s="1">
        <v>5</v>
      </c>
      <c r="G88" s="1"/>
      <c r="H88" s="1"/>
      <c r="I88" s="1"/>
      <c r="J88" s="1"/>
    </row>
    <row r="89" spans="4:10" x14ac:dyDescent="0.3">
      <c r="D89" t="s">
        <v>23</v>
      </c>
      <c r="E89" s="1">
        <v>30</v>
      </c>
      <c r="F89" s="1">
        <v>7</v>
      </c>
      <c r="G89" s="1">
        <v>13</v>
      </c>
      <c r="H89" s="1">
        <v>10</v>
      </c>
      <c r="I89" s="1">
        <v>10</v>
      </c>
      <c r="J89" s="1"/>
    </row>
    <row r="90" spans="4:10" x14ac:dyDescent="0.3">
      <c r="D90" t="s">
        <v>33</v>
      </c>
      <c r="E90" s="1">
        <v>5</v>
      </c>
      <c r="F90" s="1"/>
      <c r="G90" s="1">
        <v>5</v>
      </c>
      <c r="H90" s="1"/>
      <c r="I90" s="1"/>
      <c r="J90" s="1"/>
    </row>
    <row r="91" spans="4:10" x14ac:dyDescent="0.3">
      <c r="D91" t="s">
        <v>29</v>
      </c>
      <c r="E91" s="1">
        <v>15</v>
      </c>
      <c r="F91" s="1"/>
      <c r="G91" s="1">
        <v>12</v>
      </c>
      <c r="H91" s="1">
        <v>3</v>
      </c>
      <c r="I91" s="1"/>
      <c r="J91" s="1"/>
    </row>
    <row r="92" spans="4:10" x14ac:dyDescent="0.3">
      <c r="D92" t="s">
        <v>30</v>
      </c>
      <c r="E92" s="1">
        <v>15</v>
      </c>
      <c r="F92" s="1"/>
      <c r="G92" s="1"/>
      <c r="H92" s="1"/>
      <c r="I92" s="1">
        <v>15</v>
      </c>
      <c r="J92" s="1"/>
    </row>
    <row r="93" spans="4:10" x14ac:dyDescent="0.3">
      <c r="D93" t="s">
        <v>27</v>
      </c>
      <c r="E93" s="1">
        <v>5</v>
      </c>
      <c r="F93" s="1"/>
      <c r="G93" s="1"/>
      <c r="H93" s="1">
        <v>5</v>
      </c>
      <c r="I93" s="1"/>
      <c r="J93" s="1"/>
    </row>
    <row r="94" spans="4:10" x14ac:dyDescent="0.3">
      <c r="D94" t="s">
        <v>34</v>
      </c>
      <c r="E94" s="1">
        <v>18</v>
      </c>
      <c r="F94" s="1"/>
      <c r="G94" s="1"/>
      <c r="H94" s="1">
        <v>3</v>
      </c>
      <c r="I94" s="1">
        <v>7</v>
      </c>
      <c r="J94" s="1">
        <v>8</v>
      </c>
    </row>
    <row r="95" spans="4:10" x14ac:dyDescent="0.3">
      <c r="D95" t="s">
        <v>36</v>
      </c>
      <c r="E95" s="1">
        <v>2</v>
      </c>
      <c r="F95" s="1"/>
      <c r="G95" s="1"/>
      <c r="H95" s="1"/>
      <c r="I95" s="1">
        <v>2</v>
      </c>
      <c r="J95" s="1"/>
    </row>
    <row r="96" spans="4:10" x14ac:dyDescent="0.3">
      <c r="D96" t="s">
        <v>35</v>
      </c>
      <c r="E96" s="1">
        <v>10</v>
      </c>
      <c r="F96" s="1"/>
      <c r="G96" s="1"/>
      <c r="H96" s="1"/>
      <c r="I96" s="1">
        <v>6</v>
      </c>
      <c r="J96" s="1">
        <v>4</v>
      </c>
    </row>
    <row r="97" spans="4:10" x14ac:dyDescent="0.3">
      <c r="D97" t="s">
        <v>3</v>
      </c>
      <c r="E97" s="1">
        <f>SUM(E87:E96)</f>
        <v>120</v>
      </c>
      <c r="F97" s="1">
        <f>E97-SUM(F87:F96)</f>
        <v>103</v>
      </c>
      <c r="G97" s="1">
        <f t="shared" ref="G97:J97" si="1">F97-SUM(G87:G96)</f>
        <v>73</v>
      </c>
      <c r="H97" s="1">
        <f t="shared" si="1"/>
        <v>52</v>
      </c>
      <c r="I97" s="1">
        <f t="shared" si="1"/>
        <v>12</v>
      </c>
      <c r="J97" s="1">
        <f t="shared" si="1"/>
        <v>0</v>
      </c>
    </row>
    <row r="98" spans="4:10" x14ac:dyDescent="0.3">
      <c r="D98" t="s">
        <v>4</v>
      </c>
      <c r="E98" s="1">
        <f>SUM(E87:E96)</f>
        <v>120</v>
      </c>
      <c r="F98" s="1">
        <f>$E$98-$E$98/5*COUNT($F$85:F85)</f>
        <v>96</v>
      </c>
      <c r="G98" s="1">
        <f>$E$98-$E$98/5*COUNT($F$85:G85)</f>
        <v>72</v>
      </c>
      <c r="H98" s="1">
        <f>$E$98-$E$98/5*COUNT($F$85:H85)</f>
        <v>48</v>
      </c>
      <c r="I98" s="1">
        <f>$E$98-$E$98/5*COUNT($F$85:I85)</f>
        <v>24</v>
      </c>
      <c r="J98" s="1">
        <f>$E$98-$E$98/5*COUNT($F$85:J85)</f>
        <v>0</v>
      </c>
    </row>
    <row r="125" spans="4:12" x14ac:dyDescent="0.3">
      <c r="D125" t="s">
        <v>37</v>
      </c>
    </row>
    <row r="128" spans="4:12" x14ac:dyDescent="0.3">
      <c r="E128" s="1"/>
      <c r="F128" s="2">
        <v>45824</v>
      </c>
      <c r="G128" s="2">
        <v>45825</v>
      </c>
      <c r="H128" s="2">
        <v>45826</v>
      </c>
      <c r="I128" s="2">
        <v>45831</v>
      </c>
      <c r="J128" s="2">
        <v>45832</v>
      </c>
      <c r="K128" s="2">
        <v>45833</v>
      </c>
      <c r="L128" s="2">
        <v>45834</v>
      </c>
    </row>
    <row r="129" spans="4:12" x14ac:dyDescent="0.3">
      <c r="E129" s="1" t="s">
        <v>1</v>
      </c>
      <c r="F129" s="1" t="s">
        <v>2</v>
      </c>
      <c r="G129" s="1" t="s">
        <v>14</v>
      </c>
      <c r="H129" s="1" t="s">
        <v>15</v>
      </c>
      <c r="I129" s="1" t="s">
        <v>16</v>
      </c>
      <c r="J129" s="1" t="s">
        <v>17</v>
      </c>
      <c r="K129" s="1" t="s">
        <v>39</v>
      </c>
      <c r="L129" s="1" t="s">
        <v>40</v>
      </c>
    </row>
    <row r="130" spans="4:12" x14ac:dyDescent="0.3">
      <c r="D130" t="s">
        <v>45</v>
      </c>
      <c r="E130" s="1">
        <v>8</v>
      </c>
      <c r="F130" s="1">
        <v>4</v>
      </c>
      <c r="G130" s="1">
        <v>4</v>
      </c>
      <c r="H130" s="1"/>
      <c r="I130" s="1"/>
      <c r="J130" s="1"/>
      <c r="K130" s="1"/>
      <c r="L130" s="1"/>
    </row>
    <row r="131" spans="4:12" x14ac:dyDescent="0.3">
      <c r="D131" t="s">
        <v>38</v>
      </c>
      <c r="E131" s="1">
        <v>10</v>
      </c>
      <c r="F131" s="1">
        <v>6</v>
      </c>
      <c r="G131" s="1">
        <v>4</v>
      </c>
      <c r="H131" s="1"/>
      <c r="I131" s="1"/>
      <c r="J131" s="1"/>
      <c r="K131" s="1"/>
      <c r="L131" s="1"/>
    </row>
    <row r="132" spans="4:12" x14ac:dyDescent="0.3">
      <c r="D132" t="s">
        <v>41</v>
      </c>
      <c r="E132" s="1">
        <v>2</v>
      </c>
      <c r="F132" s="1"/>
      <c r="G132" s="1"/>
      <c r="H132" s="1">
        <v>2</v>
      </c>
      <c r="I132" s="1"/>
      <c r="J132" s="1"/>
      <c r="K132" s="1"/>
      <c r="L132" s="1"/>
    </row>
    <row r="133" spans="4:12" x14ac:dyDescent="0.3">
      <c r="D133" t="s">
        <v>42</v>
      </c>
      <c r="E133" s="1">
        <v>40</v>
      </c>
      <c r="F133" s="1"/>
      <c r="G133" s="1"/>
      <c r="H133" s="1">
        <v>10</v>
      </c>
      <c r="I133" s="1">
        <v>10</v>
      </c>
      <c r="J133" s="1">
        <v>5</v>
      </c>
      <c r="K133" s="1">
        <v>5</v>
      </c>
      <c r="L133" s="1">
        <v>10</v>
      </c>
    </row>
    <row r="134" spans="4:12" x14ac:dyDescent="0.3">
      <c r="D134" t="s">
        <v>43</v>
      </c>
      <c r="E134" s="1">
        <v>10</v>
      </c>
      <c r="F134" s="1">
        <v>10</v>
      </c>
      <c r="G134" s="1"/>
      <c r="H134" s="1"/>
      <c r="I134" s="1"/>
      <c r="J134" s="1"/>
      <c r="K134" s="1"/>
      <c r="L134" s="1"/>
    </row>
    <row r="135" spans="4:12" x14ac:dyDescent="0.3">
      <c r="D135" t="s">
        <v>44</v>
      </c>
      <c r="E135" s="1">
        <v>10</v>
      </c>
      <c r="F135" s="1"/>
      <c r="G135" s="1">
        <v>5</v>
      </c>
      <c r="H135" s="1">
        <v>5</v>
      </c>
      <c r="I135" s="1"/>
      <c r="J135" s="1"/>
      <c r="K135" s="1"/>
      <c r="L135" s="1"/>
    </row>
    <row r="136" spans="4:12" x14ac:dyDescent="0.3">
      <c r="D136" t="s">
        <v>50</v>
      </c>
      <c r="E136" s="1">
        <v>10</v>
      </c>
      <c r="F136" s="1"/>
      <c r="G136" s="1"/>
      <c r="H136" s="1"/>
      <c r="I136" s="1">
        <v>5</v>
      </c>
      <c r="J136" s="1">
        <v>3</v>
      </c>
      <c r="K136" s="1">
        <v>1</v>
      </c>
      <c r="L136" s="1">
        <v>1</v>
      </c>
    </row>
    <row r="137" spans="4:12" x14ac:dyDescent="0.3">
      <c r="D137" t="s">
        <v>46</v>
      </c>
      <c r="E137" s="1">
        <v>10</v>
      </c>
      <c r="F137" s="1"/>
      <c r="G137" s="1"/>
      <c r="H137" s="1"/>
      <c r="I137" s="1">
        <v>10</v>
      </c>
      <c r="J137" s="1"/>
      <c r="K137" s="1"/>
      <c r="L137" s="1"/>
    </row>
    <row r="138" spans="4:12" x14ac:dyDescent="0.3">
      <c r="D138" t="s">
        <v>47</v>
      </c>
      <c r="E138" s="1">
        <v>2</v>
      </c>
      <c r="F138" s="1"/>
      <c r="G138" s="1"/>
      <c r="H138" s="1"/>
      <c r="I138" s="1">
        <v>2</v>
      </c>
      <c r="J138" s="1"/>
      <c r="K138" s="1"/>
      <c r="L138" s="1"/>
    </row>
    <row r="139" spans="4:12" x14ac:dyDescent="0.3">
      <c r="D139" t="s">
        <v>48</v>
      </c>
      <c r="E139" s="1">
        <v>5</v>
      </c>
      <c r="F139" s="1"/>
      <c r="G139" s="1"/>
      <c r="H139" s="1"/>
      <c r="I139" s="1"/>
      <c r="J139" s="1"/>
      <c r="K139" s="1">
        <v>5</v>
      </c>
      <c r="L139" s="1"/>
    </row>
    <row r="140" spans="4:12" x14ac:dyDescent="0.3">
      <c r="D140" t="s">
        <v>49</v>
      </c>
      <c r="E140" s="1">
        <v>8</v>
      </c>
      <c r="F140" s="1"/>
      <c r="G140" s="1"/>
      <c r="H140" s="1"/>
      <c r="I140" s="1"/>
      <c r="J140" s="1"/>
      <c r="K140" s="1">
        <v>3</v>
      </c>
      <c r="L140" s="1">
        <v>5</v>
      </c>
    </row>
    <row r="141" spans="4:12" x14ac:dyDescent="0.3">
      <c r="D141" t="s">
        <v>38</v>
      </c>
      <c r="E141" s="1">
        <v>20</v>
      </c>
      <c r="F141" s="1"/>
      <c r="G141" s="1">
        <v>3</v>
      </c>
      <c r="H141" s="1">
        <v>7</v>
      </c>
      <c r="I141" s="1">
        <v>5</v>
      </c>
      <c r="J141" s="1"/>
      <c r="K141" s="1">
        <v>5</v>
      </c>
      <c r="L141" s="1"/>
    </row>
    <row r="142" spans="4:12" x14ac:dyDescent="0.3">
      <c r="D142" t="s">
        <v>3</v>
      </c>
      <c r="E142" s="1">
        <f>SUM(E130:E141)</f>
        <v>135</v>
      </c>
      <c r="F142" s="1">
        <f>E142-SUM(F130:F141)</f>
        <v>115</v>
      </c>
      <c r="G142" s="1">
        <f t="shared" ref="G142:L142" si="2">F142-SUM(G130:G141)</f>
        <v>99</v>
      </c>
      <c r="H142" s="1">
        <f t="shared" si="2"/>
        <v>75</v>
      </c>
      <c r="I142" s="1">
        <f t="shared" si="2"/>
        <v>43</v>
      </c>
      <c r="J142" s="1">
        <f t="shared" si="2"/>
        <v>35</v>
      </c>
      <c r="K142" s="1">
        <f t="shared" si="2"/>
        <v>16</v>
      </c>
      <c r="L142" s="1">
        <f t="shared" si="2"/>
        <v>0</v>
      </c>
    </row>
    <row r="143" spans="4:12" x14ac:dyDescent="0.3">
      <c r="D143" t="s">
        <v>4</v>
      </c>
      <c r="E143" s="1">
        <f>SUM(E130:E141)</f>
        <v>135</v>
      </c>
      <c r="F143" s="3">
        <f>$E$143-$E$143/7*COUNT($F$128:F128)</f>
        <v>115.71428571428572</v>
      </c>
      <c r="G143" s="3">
        <f>$E$143-$E$143/7*COUNT($F$128:G128)</f>
        <v>96.428571428571431</v>
      </c>
      <c r="H143" s="3">
        <f>$E$143-$E$143/7*COUNT($F$128:H128)</f>
        <v>77.142857142857139</v>
      </c>
      <c r="I143" s="3">
        <f>$E$143-$E$143/7*COUNT($F$128:I128)</f>
        <v>57.857142857142861</v>
      </c>
      <c r="J143" s="3">
        <f>$E$143-$E$143/7*COUNT($F$128:J128)</f>
        <v>38.571428571428584</v>
      </c>
      <c r="K143" s="3">
        <f>$E$143-$E$143/7*COUNT($F$128:K128)</f>
        <v>19.285714285714292</v>
      </c>
      <c r="L143" s="1">
        <f>$E$143-$E$143/7*COUNT($F$128:L128)</f>
        <v>0</v>
      </c>
    </row>
  </sheetData>
  <pageMargins left="0.7" right="0.7" top="0.78740157499999996" bottom="0.78740157499999996" header="0.3" footer="0.3"/>
  <pageSetup paperSize="9" orientation="landscape" r:id="rId1"/>
  <headerFooter>
    <oddHeader>&amp;L&amp;"Calibri"&amp;11&amp;K000000 Internal / Intern&amp;1#_x000D_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Tabelle1!Druckbereich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Holl</dc:creator>
  <cp:lastModifiedBy>Michael Holl</cp:lastModifiedBy>
  <cp:lastPrinted>2025-06-26T16:07:20Z</cp:lastPrinted>
  <dcterms:created xsi:type="dcterms:W3CDTF">2025-06-14T15:28:20Z</dcterms:created>
  <dcterms:modified xsi:type="dcterms:W3CDTF">2025-06-26T16:14:45Z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6302321-f89c-4a82-8a99-e3e1597909fa_Enabled">
    <vt:lpwstr>true</vt:lpwstr>
  </property>
  <property fmtid="{D5CDD505-2E9C-101B-9397-08002B2CF9AE}" pid="3" name="MSIP_Label_b6302321-f89c-4a82-8a99-e3e1597909fa_SetDate">
    <vt:lpwstr>2025-06-14T16:55:36Z</vt:lpwstr>
  </property>
  <property fmtid="{D5CDD505-2E9C-101B-9397-08002B2CF9AE}" pid="4" name="MSIP_Label_b6302321-f89c-4a82-8a99-e3e1597909fa_Method">
    <vt:lpwstr>Standard</vt:lpwstr>
  </property>
  <property fmtid="{D5CDD505-2E9C-101B-9397-08002B2CF9AE}" pid="5" name="MSIP_Label_b6302321-f89c-4a82-8a99-e3e1597909fa_Name">
    <vt:lpwstr>ISMS - Intern</vt:lpwstr>
  </property>
  <property fmtid="{D5CDD505-2E9C-101B-9397-08002B2CF9AE}" pid="6" name="MSIP_Label_b6302321-f89c-4a82-8a99-e3e1597909fa_SiteId">
    <vt:lpwstr>1b83abe3-5ba7-4a7b-843e-73f0b328c86f</vt:lpwstr>
  </property>
  <property fmtid="{D5CDD505-2E9C-101B-9397-08002B2CF9AE}" pid="7" name="MSIP_Label_b6302321-f89c-4a82-8a99-e3e1597909fa_ActionId">
    <vt:lpwstr>36d21570-eb46-4710-a48a-6c0a6224f7a1</vt:lpwstr>
  </property>
  <property fmtid="{D5CDD505-2E9C-101B-9397-08002B2CF9AE}" pid="8" name="MSIP_Label_b6302321-f89c-4a82-8a99-e3e1597909fa_ContentBits">
    <vt:lpwstr>1</vt:lpwstr>
  </property>
  <property fmtid="{D5CDD505-2E9C-101B-9397-08002B2CF9AE}" pid="9" name="MSIP_Label_b6302321-f89c-4a82-8a99-e3e1597909fa_Tag">
    <vt:lpwstr>10, 3, 0, 1</vt:lpwstr>
  </property>
</Properties>
</file>